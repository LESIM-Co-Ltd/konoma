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入力" sheetId="1" state="visible" r:id="rId3"/>
    <sheet name="計算" sheetId="2" state="visible" r:id="rId4"/>
    <sheet name="エラー" sheetId="3" state="visible" r:id="rId5"/>
    <sheet name="配列" sheetId="4" state="visible" r:id="rId6"/>
    <sheet name="揮発" sheetId="5" state="visible" r:id="rId7"/>
  </sheets>
  <definedNames>
    <definedName function="false" hidden="false" name="数量範囲" vbProcedure="false">入力!$B$2:$B$5</definedName>
    <definedName function="false" hidden="false" name="税率" vbProcedure="false">入力!$E$1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<sst xmlns="http://schemas.openxmlformats.org/spreadsheetml/2006/main" count="32" uniqueCount="32">
  <si>
    <t xml:space="preserve">品目</t>
  </si>
  <si>
    <t xml:space="preserve">数量</t>
  </si>
  <si>
    <t xml:space="preserve">単価</t>
  </si>
  <si>
    <t xml:space="preserve">税率</t>
  </si>
  <si>
    <t xml:space="preserve">りんご</t>
  </si>
  <si>
    <t xml:space="preserve">みかん</t>
  </si>
  <si>
    <t xml:space="preserve">ぶどう</t>
  </si>
  <si>
    <t xml:space="preserve">Pen &amp; Ink</t>
  </si>
  <si>
    <t xml:space="preserve">名前付き範囲の合計</t>
  </si>
  <si>
    <t xml:space="preserve">シート間参照</t>
  </si>
  <si>
    <t xml:space="preserve">合計金額</t>
  </si>
  <si>
    <t xml:space="preserve">税込</t>
  </si>
  <si>
    <t xml:space="preserve">文字列結合</t>
  </si>
  <si>
    <t xml:space="preserve">ブール</t>
  </si>
  <si>
    <t xml:space="preserve">検索</t>
  </si>
  <si>
    <r>
      <rPr>
        <sz val="10"/>
        <rFont val="Arial"/>
        <family val="2"/>
      </rPr>
      <t xml:space="preserve">IF </t>
    </r>
    <r>
      <rPr>
        <sz val="10"/>
        <rFont val="游ゴシック体"/>
        <family val="2"/>
      </rPr>
      <t xml:space="preserve">日本語</t>
    </r>
  </si>
  <si>
    <t xml:space="preserve">日付</t>
  </si>
  <si>
    <t xml:space="preserve">0.1+0.2</t>
  </si>
  <si>
    <t xml:space="preserve">巨大</t>
  </si>
  <si>
    <t xml:space="preserve">微小</t>
  </si>
  <si>
    <t xml:space="preserve">文字列を返す空</t>
  </si>
  <si>
    <t xml:space="preserve">REPT</t>
  </si>
  <si>
    <t xml:space="preserve">#DIV/0!</t>
  </si>
  <si>
    <t xml:space="preserve">#N/A</t>
  </si>
  <si>
    <t xml:space="preserve">#NAME?</t>
  </si>
  <si>
    <t xml:space="preserve">#VALUE!</t>
  </si>
  <si>
    <t xml:space="preserve">#REF!</t>
  </si>
  <si>
    <t xml:space="preserve">#NUM!</t>
  </si>
  <si>
    <t xml:space="preserve">#NULL!</t>
  </si>
  <si>
    <t xml:space="preserve">伝播</t>
  </si>
  <si>
    <r>
      <rPr>
        <sz val="10"/>
        <rFont val="Arial"/>
        <family val="2"/>
      </rPr>
      <t xml:space="preserve">SUMPRODUCT </t>
    </r>
    <r>
      <rPr>
        <sz val="10"/>
        <rFont val="游ゴシック体"/>
        <family val="2"/>
      </rPr>
      <t xml:space="preserve">相当</t>
    </r>
  </si>
  <si>
    <t xml:space="preserve">要素ごとの積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</si>
</sst>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"/>
    <numFmt numFmtId="166" formatCode="mm/dd/yy\ hh:mm\ AM/PM"/>
    <numFmt numFmtId="167" formatCode="[hh]:mm:ss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游ゴシック体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n">
        <v>0.1</v>
      </c>
    </row>
    <row r="2" customFormat="false" ht="12.8" hidden="false" customHeight="false" outlineLevel="0" collapsed="false">
      <c r="A2" s="1" t="s">
        <v>4</v>
      </c>
      <c r="B2" s="0" t="n">
        <v>3</v>
      </c>
      <c r="C2" s="0" t="n">
        <v>120</v>
      </c>
    </row>
    <row r="3" customFormat="false" ht="12.8" hidden="false" customHeight="false" outlineLevel="0" collapsed="false">
      <c r="A3" s="1" t="s">
        <v>5</v>
      </c>
      <c r="B3" s="0" t="n">
        <v>5</v>
      </c>
      <c r="C3" s="0" t="n">
        <v>80</v>
      </c>
    </row>
    <row r="4" customFormat="false" ht="12.8" hidden="false" customHeight="false" outlineLevel="0" collapsed="false">
      <c r="A4" s="1" t="s">
        <v>6</v>
      </c>
      <c r="B4" s="0" t="n">
        <v>2</v>
      </c>
      <c r="C4" s="0" t="n">
        <v>450</v>
      </c>
    </row>
    <row r="5" customFormat="false" ht="12.8" hidden="false" customHeight="false" outlineLevel="0" collapsed="false">
      <c r="A5" s="0" t="s">
        <v>7</v>
      </c>
      <c r="B5" s="0" t="n">
        <v>10</v>
      </c>
      <c r="C5" s="0" t="n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8</v>
      </c>
      <c r="B1" s="0" t="n">
        <f aca="false">SUM(数量範囲)</f>
        <v>20</v>
      </c>
    </row>
    <row r="2" customFormat="false" ht="12.8" hidden="false" customHeight="false" outlineLevel="0" collapsed="false">
      <c r="A2" s="1" t="s">
        <v>9</v>
      </c>
      <c r="B2" s="0" t="n">
        <f aca="false">入力!B2*入力!C2</f>
        <v>360</v>
      </c>
    </row>
    <row r="3" customFormat="false" ht="12.8" hidden="false" customHeight="false" outlineLevel="0" collapsed="false">
      <c r="A3" s="1" t="s">
        <v>10</v>
      </c>
      <c r="B3" s="0" t="n">
        <f aca="false">SUMPRODUCT(入力!B2:B5,入力!C2:C5)</f>
        <v>2010</v>
      </c>
    </row>
    <row r="4" customFormat="false" ht="12.8" hidden="false" customHeight="false" outlineLevel="0" collapsed="false">
      <c r="A4" s="1" t="s">
        <v>11</v>
      </c>
      <c r="B4" s="0" t="n">
        <f aca="false">ROUND(B3*(1+税率),0)</f>
        <v>2211</v>
      </c>
    </row>
    <row r="5" customFormat="false" ht="12.8" hidden="false" customHeight="false" outlineLevel="0" collapsed="false">
      <c r="A5" s="1" t="s">
        <v>12</v>
      </c>
      <c r="B5" s="0" t="str">
        <f aca="false">"合計: "&amp;TEXT(B3,"#,##0")&amp;" 円"</f>
        <v>合計: 2,010 円</v>
      </c>
    </row>
    <row r="6" customFormat="false" ht="12.8" hidden="false" customHeight="false" outlineLevel="0" collapsed="false">
      <c r="A6" s="1" t="s">
        <v>13</v>
      </c>
      <c r="B6" s="2" t="b">
        <f aca="false">B3&gt;1000</f>
        <v>1</v>
      </c>
    </row>
    <row r="7" customFormat="false" ht="12.8" hidden="false" customHeight="false" outlineLevel="0" collapsed="false">
      <c r="A7" s="1" t="s">
        <v>14</v>
      </c>
      <c r="B7" s="0" t="n">
        <f aca="false">VLOOKUP("みかん",入力!A2:C5,3,0)</f>
        <v>80</v>
      </c>
    </row>
    <row r="8" customFormat="false" ht="12.8" hidden="false" customHeight="false" outlineLevel="0" collapsed="false">
      <c r="A8" s="0" t="s">
        <v>15</v>
      </c>
      <c r="B8" s="0" t="str">
        <f aca="false">IF(B3&gt;1500,"高い","安い")</f>
        <v>高い</v>
      </c>
    </row>
    <row r="9" customFormat="false" ht="12.8" hidden="false" customHeight="false" outlineLevel="0" collapsed="false">
      <c r="A9" s="1" t="s">
        <v>16</v>
      </c>
      <c r="B9" s="3" t="n">
        <f aca="false">DATE(2026,10,5)</f>
        <v>46300</v>
      </c>
    </row>
    <row r="10" customFormat="false" ht="12.8" hidden="false" customHeight="false" outlineLevel="0" collapsed="false">
      <c r="A10" s="0" t="s">
        <v>17</v>
      </c>
      <c r="B10" s="0" t="n">
        <f aca="false">0.1+0.2</f>
        <v>0.3</v>
      </c>
    </row>
    <row r="11" customFormat="false" ht="12.8" hidden="false" customHeight="false" outlineLevel="0" collapsed="false">
      <c r="A11" s="1" t="s">
        <v>18</v>
      </c>
      <c r="B11" s="0" t="n">
        <f aca="false">10^300</f>
        <v>1E+300</v>
      </c>
    </row>
    <row r="12" customFormat="false" ht="12.8" hidden="false" customHeight="false" outlineLevel="0" collapsed="false">
      <c r="A12" s="1" t="s">
        <v>19</v>
      </c>
      <c r="B12" s="0" t="n">
        <f aca="false">10^-300</f>
        <v>1E-300</v>
      </c>
    </row>
    <row r="13" customFormat="false" ht="12.8" hidden="false" customHeight="false" outlineLevel="0" collapsed="false">
      <c r="A13" s="1" t="s">
        <v>20</v>
      </c>
      <c r="B13" s="0" t="str">
        <f aca="false">""</f>
        <v/>
      </c>
    </row>
    <row r="14" customFormat="false" ht="12.8" hidden="false" customHeight="false" outlineLevel="0" collapsed="false">
      <c r="A14" s="0" t="s">
        <v>21</v>
      </c>
      <c r="B14" s="0" t="str">
        <f aca="false">REPT("あ",5)</f>
        <v>あああああ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22</v>
      </c>
      <c r="B1" s="0" t="e">
        <f aca="false">1/0</f>
        <v>#DIV/0!</v>
      </c>
    </row>
    <row r="2" customFormat="false" ht="12.8" hidden="false" customHeight="false" outlineLevel="0" collapsed="false">
      <c r="A2" s="0" t="s">
        <v>23</v>
      </c>
      <c r="B2" s="0" t="e">
        <f aca="false">NA()</f>
        <v>#N/A</v>
      </c>
    </row>
    <row r="3" customFormat="false" ht="12.8" hidden="false" customHeight="false" outlineLevel="0" collapsed="false">
      <c r="A3" s="0" t="s">
        <v>24</v>
      </c>
      <c r="B3" s="0" t="e">
        <f aca="false">foobar(1)</f>
        <v>#NAME?</v>
      </c>
    </row>
    <row r="4" customFormat="false" ht="12.8" hidden="false" customHeight="false" outlineLevel="0" collapsed="false">
      <c r="A4" s="0" t="s">
        <v>25</v>
      </c>
      <c r="B4" s="0" t="e">
        <f aca="false">"a"+1</f>
        <v>#VALUE!</v>
      </c>
    </row>
    <row r="5" customFormat="false" ht="12.8" hidden="false" customHeight="false" outlineLevel="0" collapsed="false">
      <c r="A5" s="0" t="s">
        <v>26</v>
      </c>
      <c r="B5" s="0" t="e">
        <f aca="false">#REF!</f>
        <v>#REF!</v>
      </c>
    </row>
    <row r="6" customFormat="false" ht="12.8" hidden="false" customHeight="false" outlineLevel="0" collapsed="false">
      <c r="A6" s="0" t="s">
        <v>27</v>
      </c>
      <c r="B6" s="0" t="e">
        <f aca="false">SQRT(-1)</f>
        <v>#VALUE!</v>
      </c>
    </row>
    <row r="7" customFormat="false" ht="12.8" hidden="false" customHeight="false" outlineLevel="0" collapsed="false">
      <c r="A7" s="0" t="s">
        <v>28</v>
      </c>
      <c r="B7" s="0" t="e">
        <f aca="false">SUM(A1 B1)</f>
        <v>#VALUE!</v>
      </c>
    </row>
    <row r="8" customFormat="false" ht="12.8" hidden="false" customHeight="false" outlineLevel="0" collapsed="false">
      <c r="A8" s="1" t="s">
        <v>29</v>
      </c>
      <c r="B8" s="0" t="n">
        <f aca="false">1+C1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</v>
      </c>
      <c r="B1" s="0" t="n">
        <v>10</v>
      </c>
      <c r="C1" s="0" t="s">
        <v>30</v>
      </c>
      <c r="D1" s="0" t="n">
        <f aca="false" t="array" ref="D1:D1">SUM(A1:A3*B1:B3)</f>
        <v>140</v>
      </c>
      <c r="F1" s="0" t="n">
        <v>1</v>
      </c>
      <c r="G1" s="0" t="n">
        <v>2</v>
      </c>
      <c r="H1" s="0" t="n">
        <f aca="false" t="array" ref="H1:I2">MMULT(F1:G2,F1:G2)</f>
        <v>7</v>
      </c>
      <c r="I1" s="0" t="n">
        <v>10</v>
      </c>
    </row>
    <row r="2" customFormat="false" ht="12.8" hidden="false" customHeight="false" outlineLevel="0" collapsed="false">
      <c r="A2" s="0" t="n">
        <v>2</v>
      </c>
      <c r="B2" s="0" t="n">
        <v>20</v>
      </c>
      <c r="F2" s="0" t="n">
        <v>3</v>
      </c>
      <c r="G2" s="0" t="n">
        <v>4</v>
      </c>
      <c r="H2" s="0" t="n">
        <v>15</v>
      </c>
      <c r="I2" s="0" t="n">
        <v>22</v>
      </c>
    </row>
    <row r="3" customFormat="false" ht="12.8" hidden="false" customHeight="false" outlineLevel="0" collapsed="false">
      <c r="A3" s="0" t="n">
        <v>3</v>
      </c>
      <c r="B3" s="0" t="n">
        <v>30</v>
      </c>
      <c r="C3" s="1" t="s">
        <v>31</v>
      </c>
      <c r="D3" s="0" t="n">
        <f aca="false" t="array" ref="D3:D5">A1:A3*B1:B3</f>
        <v>10</v>
      </c>
    </row>
    <row r="4" customFormat="false" ht="12.8" hidden="false" customHeight="false" outlineLevel="0" collapsed="false">
      <c r="D4" s="0" t="n">
        <v>40</v>
      </c>
    </row>
    <row r="5" customFormat="false" ht="12.8" hidden="false" customHeight="false" outlineLevel="0" collapsed="false">
      <c r="D5" s="0" t="n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4" t="n">
        <f aca="true">NOW()</f>
        <v>46300.4635519653</v>
      </c>
    </row>
    <row r="2" customFormat="false" ht="12.8" hidden="false" customHeight="false" outlineLevel="0" collapsed="false">
      <c r="A2" s="3" t="n">
        <f aca="true">TODAY()</f>
        <v>46300</v>
      </c>
    </row>
    <row r="3" customFormat="false" ht="12.8" hidden="false" customHeight="false" outlineLevel="0" collapsed="false">
      <c r="A3" s="0" t="n">
        <f aca="true">RAND()</f>
        <v>0.705019042523727</v>
      </c>
    </row>
    <row r="4" customFormat="false" ht="12.8" hidden="false" customHeight="false" outlineLevel="0" collapsed="false">
      <c r="A4" s="5" t="n">
        <f aca="true">NOW()-NOW()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2026-10-05T11:07:30Z</dcterms:modified>
  <cp:revision>1</cp:revision>
  <dc:subject/>
  <dc:title/>
</cp:coreProperties>
</file>